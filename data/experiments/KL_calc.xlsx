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imda\Documents\PhD_Local\3-Repositories\PendantProp\data\experiments\"/>
    </mc:Choice>
  </mc:AlternateContent>
  <xr:revisionPtr revIDLastSave="0" documentId="13_ncr:1_{333F5205-CEAA-415B-BBC9-8057478088DC}" xr6:coauthVersionLast="47" xr6:coauthVersionMax="47" xr10:uidLastSave="{00000000-0000-0000-0000-000000000000}"/>
  <bookViews>
    <workbookView xWindow="-38520" yWindow="-5595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P13" i="1" s="1"/>
  <c r="Q13" i="1" s="1"/>
  <c r="R13" i="1" s="1"/>
  <c r="O13" i="1"/>
  <c r="N13" i="1"/>
  <c r="F13" i="1"/>
  <c r="O12" i="1"/>
  <c r="P12" i="1" s="1"/>
  <c r="Q12" i="1" s="1"/>
  <c r="R12" i="1" s="1"/>
  <c r="N12" i="1"/>
  <c r="F12" i="1"/>
  <c r="O11" i="1"/>
  <c r="N11" i="1"/>
  <c r="F11" i="1"/>
  <c r="O10" i="1"/>
  <c r="P10" i="1" s="1"/>
  <c r="Q10" i="1" s="1"/>
  <c r="R10" i="1" s="1"/>
  <c r="N10" i="1"/>
  <c r="F10" i="1"/>
  <c r="O9" i="1"/>
  <c r="N9" i="1"/>
  <c r="F9" i="1"/>
  <c r="O8" i="1"/>
  <c r="P8" i="1" s="1"/>
  <c r="Q8" i="1" s="1"/>
  <c r="R8" i="1" s="1"/>
  <c r="N8" i="1"/>
  <c r="F8" i="1"/>
  <c r="O7" i="1"/>
  <c r="N7" i="1"/>
  <c r="F7" i="1"/>
  <c r="O6" i="1"/>
  <c r="P6" i="1" s="1"/>
  <c r="Q6" i="1" s="1"/>
  <c r="R6" i="1" s="1"/>
  <c r="N6" i="1"/>
  <c r="F6" i="1"/>
  <c r="O5" i="1"/>
  <c r="N5" i="1"/>
  <c r="F5" i="1"/>
  <c r="O4" i="1"/>
  <c r="P4" i="1" s="1"/>
  <c r="Q4" i="1" s="1"/>
  <c r="R4" i="1" s="1"/>
  <c r="N4" i="1"/>
  <c r="F4" i="1"/>
  <c r="O3" i="1"/>
  <c r="N3" i="1"/>
  <c r="F3" i="1"/>
  <c r="O2" i="1"/>
  <c r="P2" i="1" s="1"/>
  <c r="Q2" i="1" s="1"/>
  <c r="R2" i="1" s="1"/>
  <c r="N2" i="1"/>
  <c r="F2" i="1"/>
  <c r="P3" i="1" l="1"/>
  <c r="Q3" i="1" s="1"/>
  <c r="R3" i="1" s="1"/>
  <c r="P7" i="1"/>
  <c r="Q7" i="1" s="1"/>
  <c r="R7" i="1" s="1"/>
  <c r="P11" i="1"/>
  <c r="Q11" i="1" s="1"/>
  <c r="R11" i="1" s="1"/>
  <c r="P5" i="1"/>
  <c r="Q5" i="1" s="1"/>
  <c r="R5" i="1" s="1"/>
  <c r="P9" i="1"/>
  <c r="Q9" i="1" s="1"/>
  <c r="R9" i="1" s="1"/>
</calcChain>
</file>

<file path=xl/sharedStrings.xml><?xml version="1.0" encoding="utf-8"?>
<sst xmlns="http://schemas.openxmlformats.org/spreadsheetml/2006/main" count="33" uniqueCount="33">
  <si>
    <t>sample</t>
  </si>
  <si>
    <t>n</t>
  </si>
  <si>
    <t>cmc_mean</t>
  </si>
  <si>
    <t>cmc_std</t>
  </si>
  <si>
    <t>gamma_max_mean</t>
  </si>
  <si>
    <t>gamma_max_correct</t>
  </si>
  <si>
    <t>gamma_max_std</t>
  </si>
  <si>
    <t>st_at_cmc_mean</t>
  </si>
  <si>
    <t>st_at_cmc_std</t>
  </si>
  <si>
    <t>C20_mean</t>
  </si>
  <si>
    <t>C20_std</t>
  </si>
  <si>
    <t>log(Kad)_mean</t>
  </si>
  <si>
    <t>log(Kad)_std</t>
  </si>
  <si>
    <t>cmc M</t>
  </si>
  <si>
    <t>st_at_cmc SI</t>
  </si>
  <si>
    <t>frac</t>
  </si>
  <si>
    <t>Kad_calc</t>
  </si>
  <si>
    <t>log(Kad)</t>
  </si>
  <si>
    <t>16BAC_1</t>
  </si>
  <si>
    <t>BDDAB_1</t>
  </si>
  <si>
    <t>C12E3_1</t>
  </si>
  <si>
    <t>C12E4_1</t>
  </si>
  <si>
    <t>CTAB_1</t>
  </si>
  <si>
    <t>DTAB_1</t>
  </si>
  <si>
    <t>NaOleate_1</t>
  </si>
  <si>
    <t>SDBS_1</t>
  </si>
  <si>
    <t>SDS_2</t>
  </si>
  <si>
    <t>SOS_4</t>
  </si>
  <si>
    <t>TTAB_1</t>
  </si>
  <si>
    <t>16BAC_surfpro</t>
  </si>
  <si>
    <t>AW_ST</t>
  </si>
  <si>
    <t>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</si>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</sst>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sqref="A1:XFD1048576"/>
    </sheetView>
  </sheetViews>
  <sheetFormatPr defaultRowHeight="15" x14ac:dyDescent="0.25"/>
  <cols>
    <col min="1" max="1" width="11.140625" bestFit="1" customWidth="1"/>
    <col min="2" max="3" width="12" bestFit="1" customWidth="1"/>
    <col min="4" max="4" width="18.42578125" bestFit="1" customWidth="1"/>
    <col min="5" max="6" width="16" bestFit="1" customWidth="1"/>
    <col min="7" max="7" width="15.7109375" bestFit="1" customWidth="1"/>
    <col min="8" max="8" width="13.42578125" bestFit="1" customWidth="1"/>
    <col min="9" max="10" width="12" bestFit="1" customWidth="1"/>
    <col min="11" max="11" width="14.5703125" bestFit="1" customWidth="1"/>
    <col min="12" max="12" width="12.140625" bestFit="1" customWidth="1"/>
    <col min="13" max="14" width="12" bestFit="1" customWidth="1"/>
    <col min="15" max="15" width="8.5703125" bestFit="1" customWidth="1"/>
    <col min="16" max="16" width="9" bestFit="1" customWidth="1"/>
    <col min="17" max="17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2</v>
      </c>
      <c r="C2">
        <v>0.54018338521321596</v>
      </c>
      <c r="D2">
        <v>3.1798077268388902E-2</v>
      </c>
      <c r="E2" s="1">
        <v>7.7538279583677599E-6</v>
      </c>
      <c r="F2" s="1">
        <f>E2/B2</f>
        <v>3.8769139791838799E-6</v>
      </c>
      <c r="G2" s="1">
        <v>1.3233946158624099E-6</v>
      </c>
      <c r="H2">
        <v>39.069801330566399</v>
      </c>
      <c r="I2">
        <v>0.17274762574872801</v>
      </c>
      <c r="J2">
        <v>0.25267254312833098</v>
      </c>
      <c r="K2">
        <v>9.3282226392762107E-3</v>
      </c>
      <c r="L2">
        <v>3.97722237808394</v>
      </c>
      <c r="M2">
        <v>0.13996816240042201</v>
      </c>
      <c r="N2">
        <f>C2/1000</f>
        <v>5.40183385213216E-4</v>
      </c>
      <c r="O2">
        <f>H2/1000</f>
        <v>3.9069801330566402E-2</v>
      </c>
      <c r="P2" s="1">
        <f>($C$20-O2)/(B2*$B$22*$B$21*F2)</f>
        <v>1.7549223485473586</v>
      </c>
      <c r="Q2" s="1">
        <f>(EXP(P2)-1)/N2</f>
        <v>8854.3979641031565</v>
      </c>
      <c r="R2">
        <f>LOG10(Q2)</f>
        <v>3.9471590376032881</v>
      </c>
    </row>
    <row r="3" spans="1:18" x14ac:dyDescent="0.25">
      <c r="A3" t="s">
        <v>19</v>
      </c>
      <c r="B3">
        <v>2</v>
      </c>
      <c r="C3">
        <v>3.85719490051269</v>
      </c>
      <c r="D3">
        <v>0.47415353528326798</v>
      </c>
      <c r="E3" s="1">
        <v>7.9119893901709699E-6</v>
      </c>
      <c r="F3" s="1">
        <f t="shared" ref="F3:F12" si="0">E3/B3</f>
        <v>3.9559946950854849E-6</v>
      </c>
      <c r="G3" s="1">
        <v>4.17670938718408E-7</v>
      </c>
      <c r="H3">
        <v>32.4371948242187</v>
      </c>
      <c r="I3">
        <v>0.118871484452118</v>
      </c>
      <c r="J3">
        <v>1.22550725936889</v>
      </c>
      <c r="K3">
        <v>0.103404551943867</v>
      </c>
      <c r="L3">
        <v>3.2681323388560601</v>
      </c>
      <c r="M3">
        <v>6.6452516227037996E-3</v>
      </c>
      <c r="N3">
        <f>C3/1000</f>
        <v>3.85719490051269E-3</v>
      </c>
      <c r="O3">
        <f t="shared" ref="O3:O12" si="1">H3/1000</f>
        <v>3.2437194824218703E-2</v>
      </c>
      <c r="P3" s="1">
        <f>($C$20-O3)/(B3*$B$22*$B$21*F3)</f>
        <v>2.0580257843506939</v>
      </c>
      <c r="Q3" s="1">
        <f t="shared" ref="Q3:Q12" si="2">(EXP(P3)-1)/N3</f>
        <v>1770.8452982013948</v>
      </c>
      <c r="R3">
        <f t="shared" ref="R3:R12" si="3">LOG10(Q3)</f>
        <v>3.2481806226965153</v>
      </c>
    </row>
    <row r="4" spans="1:18" x14ac:dyDescent="0.25">
      <c r="A4" t="s">
        <v>20</v>
      </c>
      <c r="B4">
        <v>1</v>
      </c>
      <c r="C4">
        <v>9.0010327597459097E-2</v>
      </c>
      <c r="D4">
        <v>4.5539120977657497E-3</v>
      </c>
      <c r="E4" s="1">
        <v>9.5504440954149001E-6</v>
      </c>
      <c r="F4" s="1">
        <f t="shared" si="0"/>
        <v>9.5504440954149001E-6</v>
      </c>
      <c r="G4" s="1">
        <v>2.4501915230011902E-6</v>
      </c>
      <c r="H4">
        <v>28.182151158650701</v>
      </c>
      <c r="I4">
        <v>0.48337915509687301</v>
      </c>
      <c r="J4">
        <v>2.5273516153295799E-2</v>
      </c>
      <c r="K4">
        <v>4.6127374790530104E-3</v>
      </c>
      <c r="L4">
        <v>4.8421347907449501</v>
      </c>
      <c r="M4">
        <v>0.232982759633307</v>
      </c>
      <c r="N4">
        <f>C4/1000</f>
        <v>9.0010327597459102E-5</v>
      </c>
      <c r="O4">
        <f t="shared" si="1"/>
        <v>2.8182151158650699E-2</v>
      </c>
      <c r="P4" s="1">
        <f>($C$20-O4)/(B4*$B$22*$B$21*F4)</f>
        <v>1.8846913062713526</v>
      </c>
      <c r="Q4" s="1">
        <f t="shared" si="2"/>
        <v>62040.898400667145</v>
      </c>
      <c r="R4">
        <f t="shared" si="3"/>
        <v>4.7926780781104146</v>
      </c>
    </row>
    <row r="5" spans="1:18" x14ac:dyDescent="0.25">
      <c r="A5" t="s">
        <v>21</v>
      </c>
      <c r="B5">
        <v>1</v>
      </c>
      <c r="C5">
        <v>7.9704950253168705E-2</v>
      </c>
      <c r="D5">
        <v>1.5474608557090199E-2</v>
      </c>
      <c r="E5" s="1">
        <v>8.47997580422088E-6</v>
      </c>
      <c r="F5" s="1">
        <f t="shared" si="0"/>
        <v>8.47997580422088E-6</v>
      </c>
      <c r="G5" s="1">
        <v>5.8629297948657103E-7</v>
      </c>
      <c r="H5">
        <v>30.2636407216389</v>
      </c>
      <c r="I5">
        <v>2.0508554823693301</v>
      </c>
      <c r="J5">
        <v>2.33041054258743E-2</v>
      </c>
      <c r="K5">
        <v>1.8721652782151799E-3</v>
      </c>
      <c r="L5">
        <v>4.9383992159083796</v>
      </c>
      <c r="M5">
        <v>4.7821010340389998E-2</v>
      </c>
      <c r="N5">
        <f>C5/1000</f>
        <v>7.9704950253168709E-5</v>
      </c>
      <c r="O5">
        <f t="shared" si="1"/>
        <v>3.0263640721638899E-2</v>
      </c>
      <c r="P5" s="1">
        <f>($C$20-O5)/(B5*$B$22*$B$21*F5)</f>
        <v>2.0235822839517921</v>
      </c>
      <c r="Q5" s="1">
        <f t="shared" si="2"/>
        <v>82371.016603122029</v>
      </c>
      <c r="R5">
        <f t="shared" si="3"/>
        <v>4.9157744259739928</v>
      </c>
    </row>
    <row r="6" spans="1:18" x14ac:dyDescent="0.25">
      <c r="A6" t="s">
        <v>22</v>
      </c>
      <c r="B6">
        <v>2</v>
      </c>
      <c r="C6">
        <v>1.10943951209386</v>
      </c>
      <c r="D6">
        <v>0.218572271743876</v>
      </c>
      <c r="E6" s="1">
        <v>1.5496678012520201E-5</v>
      </c>
      <c r="F6" s="1">
        <f t="shared" si="0"/>
        <v>7.7483390062601004E-6</v>
      </c>
      <c r="G6" s="1">
        <v>6.6353013997168299E-6</v>
      </c>
      <c r="H6">
        <v>34.509190877278598</v>
      </c>
      <c r="I6">
        <v>1.9953799154925</v>
      </c>
      <c r="J6">
        <v>0.48816182216008502</v>
      </c>
      <c r="K6">
        <v>3.3902613990027503E-2</v>
      </c>
      <c r="L6">
        <v>3.28732859058948</v>
      </c>
      <c r="M6">
        <v>0.31383726268638701</v>
      </c>
      <c r="N6">
        <f>C6/1000</f>
        <v>1.10943951209386E-3</v>
      </c>
      <c r="O6">
        <f t="shared" si="1"/>
        <v>3.4509190877278599E-2</v>
      </c>
      <c r="P6" s="1">
        <f>($C$20-O6)/(B6*$B$22*$B$21*F6)</f>
        <v>0.9968070484498629</v>
      </c>
      <c r="Q6" s="1">
        <f t="shared" si="2"/>
        <v>1540.9729951642962</v>
      </c>
      <c r="R6">
        <f t="shared" si="3"/>
        <v>3.1877950279761125</v>
      </c>
    </row>
    <row r="7" spans="1:18" x14ac:dyDescent="0.25">
      <c r="A7" t="s">
        <v>23</v>
      </c>
      <c r="B7">
        <v>2</v>
      </c>
      <c r="C7">
        <v>13.6159191131591</v>
      </c>
      <c r="D7">
        <v>0.87770749085529298</v>
      </c>
      <c r="E7" s="1">
        <v>7.9102755989879302E-6</v>
      </c>
      <c r="F7" s="1">
        <f t="shared" si="0"/>
        <v>3.9551377994939651E-6</v>
      </c>
      <c r="G7" s="1">
        <v>1.5779503249396299E-6</v>
      </c>
      <c r="H7">
        <v>34.172468821207602</v>
      </c>
      <c r="I7">
        <v>1.78848687604761</v>
      </c>
      <c r="J7">
        <v>4.7499314943949296</v>
      </c>
      <c r="K7">
        <v>0.61386325554685495</v>
      </c>
      <c r="L7">
        <v>2.6959948767894799</v>
      </c>
      <c r="M7">
        <v>0.170384105690736</v>
      </c>
      <c r="N7">
        <f>C7/1000</f>
        <v>1.3615919113159099E-2</v>
      </c>
      <c r="O7">
        <f t="shared" si="1"/>
        <v>3.4172468821207599E-2</v>
      </c>
      <c r="P7" s="1">
        <f>($C$20-O7)/(B7*$B$22*$B$21*F7)</f>
        <v>1.9699740395576124</v>
      </c>
      <c r="Q7" s="1">
        <f t="shared" si="2"/>
        <v>453.18206472492835</v>
      </c>
      <c r="R7">
        <f t="shared" si="3"/>
        <v>2.6562727137572759</v>
      </c>
    </row>
    <row r="8" spans="1:18" x14ac:dyDescent="0.25">
      <c r="A8" t="s">
        <v>24</v>
      </c>
      <c r="B8">
        <v>2</v>
      </c>
      <c r="C8">
        <v>0.13960609833399401</v>
      </c>
      <c r="D8">
        <v>1.7717891145440999E-2</v>
      </c>
      <c r="E8" s="1">
        <v>1.4611256422843601E-5</v>
      </c>
      <c r="F8" s="1">
        <f t="shared" si="0"/>
        <v>7.3056282114218003E-6</v>
      </c>
      <c r="G8" s="1">
        <v>3.2320566050041398E-6</v>
      </c>
      <c r="H8">
        <v>38.660235087076799</v>
      </c>
      <c r="I8">
        <v>0.50298586929636602</v>
      </c>
      <c r="J8">
        <v>7.7426455914974102E-2</v>
      </c>
      <c r="K8">
        <v>1.39429400938534E-2</v>
      </c>
      <c r="L8">
        <v>4.0848118330771896</v>
      </c>
      <c r="M8">
        <v>0.20713118007159401</v>
      </c>
      <c r="N8">
        <f>C8/1000</f>
        <v>1.3960609833399401E-4</v>
      </c>
      <c r="O8">
        <f t="shared" si="1"/>
        <v>3.8660235087076798E-2</v>
      </c>
      <c r="P8" s="1">
        <f>($C$20-O8)/(B8*$B$22*$B$21*F8)</f>
        <v>0.94260150714702462</v>
      </c>
      <c r="Q8" s="1">
        <f t="shared" si="2"/>
        <v>11221.930254263125</v>
      </c>
      <c r="R8">
        <f t="shared" si="3"/>
        <v>4.0500675651798792</v>
      </c>
    </row>
    <row r="9" spans="1:18" x14ac:dyDescent="0.25">
      <c r="A9" t="s">
        <v>25</v>
      </c>
      <c r="B9">
        <v>2</v>
      </c>
      <c r="C9">
        <v>2.8242056369781401</v>
      </c>
      <c r="D9">
        <v>0.16934956934897599</v>
      </c>
      <c r="E9" s="1">
        <v>6.6610897799061304E-6</v>
      </c>
      <c r="F9" s="1">
        <f t="shared" si="0"/>
        <v>3.3305448899530652E-6</v>
      </c>
      <c r="G9" s="1">
        <v>1.03908061501439E-6</v>
      </c>
      <c r="H9">
        <v>34.987080891927</v>
      </c>
      <c r="I9">
        <v>0.637678543981542</v>
      </c>
      <c r="J9">
        <v>0.92805864413579298</v>
      </c>
      <c r="K9">
        <v>0.11764306859566299</v>
      </c>
      <c r="L9">
        <v>3.5333390262059701</v>
      </c>
      <c r="M9">
        <v>0.193388143955118</v>
      </c>
      <c r="N9">
        <f>C9/1000</f>
        <v>2.8242056369781401E-3</v>
      </c>
      <c r="O9">
        <f t="shared" si="1"/>
        <v>3.4987080891927001E-2</v>
      </c>
      <c r="P9" s="1">
        <f>($C$20-O9)/(B9*$B$22*$B$21*F9)</f>
        <v>2.290076997536481</v>
      </c>
      <c r="Q9" s="1">
        <f t="shared" si="2"/>
        <v>3142.7237238353287</v>
      </c>
      <c r="R9">
        <f t="shared" si="3"/>
        <v>3.4973062039613976</v>
      </c>
    </row>
    <row r="10" spans="1:18" x14ac:dyDescent="0.25">
      <c r="A10" t="s">
        <v>26</v>
      </c>
      <c r="B10">
        <v>2</v>
      </c>
      <c r="C10">
        <v>7.7012775739033996</v>
      </c>
      <c r="D10">
        <v>0.28834245079708198</v>
      </c>
      <c r="E10" s="1">
        <v>1.48358864559365E-5</v>
      </c>
      <c r="F10" s="1">
        <f t="shared" si="0"/>
        <v>7.4179432279682501E-6</v>
      </c>
      <c r="G10" s="1">
        <v>1.5477158167237501E-6</v>
      </c>
      <c r="H10">
        <v>38.250885009765597</v>
      </c>
      <c r="I10">
        <v>9.1443604835043393E-2</v>
      </c>
      <c r="J10">
        <v>4.23103594779968</v>
      </c>
      <c r="K10">
        <v>0.23456035633047601</v>
      </c>
      <c r="L10">
        <v>2.3224449151495499</v>
      </c>
      <c r="M10">
        <v>8.3814594003359E-2</v>
      </c>
      <c r="N10">
        <f>C10/1000</f>
        <v>7.7012775739033999E-3</v>
      </c>
      <c r="O10">
        <f t="shared" si="1"/>
        <v>3.8250885009765596E-2</v>
      </c>
      <c r="P10" s="1">
        <f>($C$20-O10)/(B10*$B$22*$B$21*F10)</f>
        <v>0.93946064605758073</v>
      </c>
      <c r="Q10" s="1">
        <f t="shared" si="2"/>
        <v>202.3821423897314</v>
      </c>
      <c r="R10">
        <f t="shared" si="3"/>
        <v>2.3061721889792772</v>
      </c>
    </row>
    <row r="11" spans="1:18" x14ac:dyDescent="0.25">
      <c r="A11" t="s">
        <v>27</v>
      </c>
      <c r="B11">
        <v>2</v>
      </c>
      <c r="C11">
        <v>62.4932441711425</v>
      </c>
      <c r="D11">
        <v>2.8121614667364998</v>
      </c>
      <c r="E11" s="1">
        <v>9.0832730469022195E-6</v>
      </c>
      <c r="F11" s="1">
        <f t="shared" si="0"/>
        <v>4.5416365234511097E-6</v>
      </c>
      <c r="G11" s="1">
        <v>8.5818342377331705E-7</v>
      </c>
      <c r="H11">
        <v>41.094249725341797</v>
      </c>
      <c r="I11">
        <v>0.658140142770547</v>
      </c>
      <c r="J11">
        <v>35.261355082194001</v>
      </c>
      <c r="K11">
        <v>2.2337946354419</v>
      </c>
      <c r="L11">
        <v>1.7149768246019099</v>
      </c>
      <c r="M11">
        <v>8.8589726683786105E-2</v>
      </c>
      <c r="N11">
        <f>C11/1000</f>
        <v>6.2493244171142499E-2</v>
      </c>
      <c r="O11">
        <f t="shared" si="1"/>
        <v>4.10942497253418E-2</v>
      </c>
      <c r="P11" s="1">
        <f>($C$20-O11)/(B11*$B$22*$B$21*F11)</f>
        <v>1.4081561989139835</v>
      </c>
      <c r="Q11" s="1">
        <f t="shared" si="2"/>
        <v>49.419905720112155</v>
      </c>
      <c r="R11">
        <f t="shared" si="3"/>
        <v>1.6939019125497898</v>
      </c>
    </row>
    <row r="12" spans="1:18" x14ac:dyDescent="0.25">
      <c r="A12" t="s">
        <v>28</v>
      </c>
      <c r="B12">
        <v>2</v>
      </c>
      <c r="C12">
        <v>2.8621811866760201</v>
      </c>
      <c r="D12">
        <v>0.75572537928106298</v>
      </c>
      <c r="E12" s="1">
        <v>9.9949704538901098E-5</v>
      </c>
      <c r="F12" s="1">
        <f t="shared" si="0"/>
        <v>4.9974852269450549E-5</v>
      </c>
      <c r="G12">
        <v>1.52623742285596E-4</v>
      </c>
      <c r="H12">
        <v>33.388584136962798</v>
      </c>
      <c r="I12">
        <v>0.72455855743680497</v>
      </c>
      <c r="J12">
        <v>1.22121067841847</v>
      </c>
      <c r="K12">
        <v>7.4109415923556896E-2</v>
      </c>
      <c r="L12">
        <v>2.7660513001699698</v>
      </c>
      <c r="M12">
        <v>0.46888376355130101</v>
      </c>
      <c r="N12">
        <f>C12/1000</f>
        <v>2.8621811866760202E-3</v>
      </c>
      <c r="O12">
        <f t="shared" si="1"/>
        <v>3.3388584136962801E-2</v>
      </c>
      <c r="P12" s="1">
        <f>($C$20-O12)/(B12*$B$22*$B$21*F12)</f>
        <v>0.15907271325701561</v>
      </c>
      <c r="Q12" s="1">
        <f t="shared" si="2"/>
        <v>60.241886535025678</v>
      </c>
      <c r="R12">
        <f t="shared" si="3"/>
        <v>1.7798985637723694</v>
      </c>
    </row>
    <row r="13" spans="1:18" x14ac:dyDescent="0.25">
      <c r="A13" t="s">
        <v>29</v>
      </c>
      <c r="B13">
        <v>2</v>
      </c>
      <c r="C13">
        <v>0.31</v>
      </c>
      <c r="D13">
        <v>3.1798077268388902E-2</v>
      </c>
      <c r="E13" s="1">
        <v>2.5500000000000001E-6</v>
      </c>
      <c r="F13" s="1">
        <f>E13/B13</f>
        <v>1.2750000000000001E-6</v>
      </c>
      <c r="G13" s="1">
        <v>1.3233946158624099E-6</v>
      </c>
      <c r="H13">
        <v>37.4</v>
      </c>
      <c r="I13">
        <v>0.17274762574872801</v>
      </c>
      <c r="J13">
        <v>0.25267254312833098</v>
      </c>
      <c r="K13">
        <v>9.3282226392762107E-3</v>
      </c>
      <c r="L13">
        <v>3.97722237808394</v>
      </c>
      <c r="M13">
        <v>0.13996816240042201</v>
      </c>
      <c r="N13">
        <f>C13/1000</f>
        <v>3.1E-4</v>
      </c>
      <c r="O13">
        <f>H13/1000</f>
        <v>3.7399999999999996E-2</v>
      </c>
      <c r="P13" s="1">
        <f>($C$20-O13)/(B13*$B$22*$B$21*F13)</f>
        <v>5.600389694099289</v>
      </c>
      <c r="Q13" s="1">
        <f>(EXP(P13)-1)/N13</f>
        <v>869457.45657343476</v>
      </c>
      <c r="R13">
        <f>LOG10(Q13)</f>
        <v>5.9392483363934465</v>
      </c>
    </row>
    <row r="20" spans="1:3" x14ac:dyDescent="0.25">
      <c r="A20" t="s">
        <v>30</v>
      </c>
      <c r="B20">
        <v>72.8</v>
      </c>
      <c r="C20">
        <f>B20/1000</f>
        <v>7.2800000000000004E-2</v>
      </c>
    </row>
    <row r="21" spans="1:3" x14ac:dyDescent="0.25">
      <c r="A21" t="s">
        <v>31</v>
      </c>
      <c r="B21">
        <v>298.14999999999998</v>
      </c>
    </row>
    <row r="22" spans="1:3" x14ac:dyDescent="0.25">
      <c r="A22" t="s">
        <v>32</v>
      </c>
      <c r="B22">
        <v>8.3140000000000001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pimda</dc:creator>
  <cp:lastModifiedBy>Dankloff, P.F.J. (Pim)</cp:lastModifiedBy>
  <dcterms:created xsi:type="dcterms:W3CDTF">2015-06-05T18:17:20Z</dcterms:created>
  <dcterms:modified xsi:type="dcterms:W3CDTF">2025-06-25T09:22:14Z</dcterms:modified>
</cp:coreProperties>
</file>